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R02\System 1\16- AC&amp;DC Cables Calculation Table\"/>
    </mc:Choice>
  </mc:AlternateContent>
  <xr:revisionPtr revIDLastSave="0" documentId="13_ncr:1_{5C109863-2435-4458-9D54-CC57BF3E04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quations (4)" sheetId="9" r:id="rId1"/>
    <sheet name="Percentage Voltage Drop " sheetId="10" r:id="rId2"/>
    <sheet name="Aluminum MultiCor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9" l="1"/>
  <c r="F6" i="9" s="1"/>
</calcChain>
</file>

<file path=xl/sharedStrings.xml><?xml version="1.0" encoding="utf-8"?>
<sst xmlns="http://schemas.openxmlformats.org/spreadsheetml/2006/main" count="105" uniqueCount="61">
  <si>
    <t>Value</t>
  </si>
  <si>
    <t>Unit</t>
  </si>
  <si>
    <t>A</t>
  </si>
  <si>
    <t>m</t>
  </si>
  <si>
    <t>V</t>
  </si>
  <si>
    <t>Percentage Voltage Drop</t>
  </si>
  <si>
    <t>%</t>
  </si>
  <si>
    <t xml:space="preserve">Operating Voltage </t>
  </si>
  <si>
    <t xml:space="preserve">Ambient Temperature </t>
  </si>
  <si>
    <t xml:space="preserve">Total Load </t>
  </si>
  <si>
    <t xml:space="preserve">Inputs </t>
  </si>
  <si>
    <t xml:space="preserve">Max Current </t>
  </si>
  <si>
    <t xml:space="preserve">Cable Length </t>
  </si>
  <si>
    <t>C</t>
  </si>
  <si>
    <t xml:space="preserve">Number of cables </t>
  </si>
  <si>
    <t>Cross section mm</t>
  </si>
  <si>
    <t xml:space="preserve">Current Carrying Capacity </t>
  </si>
  <si>
    <t xml:space="preserve">Partial Load </t>
  </si>
  <si>
    <t xml:space="preserve">Ratio </t>
  </si>
  <si>
    <t>Nominal Area of Conductor</t>
  </si>
  <si>
    <t>Copper Conductor mV/Amp/m</t>
  </si>
  <si>
    <t>Aluminum Conductor mV/Amp/m</t>
  </si>
  <si>
    <t>mm²</t>
  </si>
  <si>
    <t>PVC Rated 90°C</t>
  </si>
  <si>
    <t>-</t>
  </si>
  <si>
    <t>Voltage Drop(%)</t>
  </si>
  <si>
    <t>Inverter1</t>
  </si>
  <si>
    <t>Inverter2</t>
  </si>
  <si>
    <t>Inverter3</t>
  </si>
  <si>
    <t>Inverter4</t>
  </si>
  <si>
    <t>Inverter5</t>
  </si>
  <si>
    <t>Inverter6</t>
  </si>
  <si>
    <t>Inverter7</t>
  </si>
  <si>
    <t>Inverter8</t>
  </si>
  <si>
    <t>Inverter9</t>
  </si>
  <si>
    <t>Inverter10</t>
  </si>
  <si>
    <t>Inverter11</t>
  </si>
  <si>
    <t>Inverter12</t>
  </si>
  <si>
    <t>Inverter13</t>
  </si>
  <si>
    <t>Inverter14</t>
  </si>
  <si>
    <t>Inverter15</t>
  </si>
  <si>
    <t>Inverter16</t>
  </si>
  <si>
    <t>Inverter17</t>
  </si>
  <si>
    <t>Inverters</t>
  </si>
  <si>
    <t>cable size</t>
  </si>
  <si>
    <t>Combiner Panel 1</t>
  </si>
  <si>
    <t>Combiner Panel 2</t>
  </si>
  <si>
    <t>Combiner Panel 3</t>
  </si>
  <si>
    <t>5 x 185</t>
  </si>
  <si>
    <t>4 x 185</t>
  </si>
  <si>
    <t xml:space="preserve">Length(m)                                                 INV TO Combiner  2                  </t>
  </si>
  <si>
    <t xml:space="preserve">Length(m)                                                 INV TO Combiner 1                  </t>
  </si>
  <si>
    <t xml:space="preserve">Length(m)                                                 INV TO Combiner 3                </t>
  </si>
  <si>
    <t>Length(m)                                  Combiner To MDB 1</t>
  </si>
  <si>
    <t>Length(m)                                  Combiner To MDB 2</t>
  </si>
  <si>
    <t>Length(m)                                  Combiner To MDB 3</t>
  </si>
  <si>
    <t>Combiner</t>
  </si>
  <si>
    <t>Type Cable</t>
  </si>
  <si>
    <t>Alum-XLPE-PVC</t>
  </si>
  <si>
    <t>I max (A)</t>
  </si>
  <si>
    <t>Impedance
[90 oC]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</si>
</sst>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C7B7-F5B0-4182-BFB5-07A4658D30EF}">
  <dimension ref="A1:G7"/>
  <sheetViews>
    <sheetView zoomScale="95" workbookViewId="0">
      <selection activeCell="D13" sqref="D13"/>
    </sheetView>
  </sheetViews>
  <sheetFormatPr defaultColWidth="22.44140625" defaultRowHeight="14.4" x14ac:dyDescent="0.3"/>
  <cols>
    <col min="1" max="1" width="19.44140625" bestFit="1" customWidth="1"/>
    <col min="2" max="2" width="6" bestFit="1" customWidth="1"/>
    <col min="3" max="3" width="4.44140625" bestFit="1" customWidth="1"/>
    <col min="5" max="5" width="22.44140625" bestFit="1" customWidth="1"/>
    <col min="6" max="6" width="12" bestFit="1" customWidth="1"/>
    <col min="7" max="7" width="2.44140625" bestFit="1" customWidth="1"/>
  </cols>
  <sheetData>
    <row r="1" spans="1:7" x14ac:dyDescent="0.3">
      <c r="A1" s="2" t="s">
        <v>10</v>
      </c>
      <c r="B1" s="2" t="s">
        <v>0</v>
      </c>
      <c r="C1" s="2" t="s">
        <v>1</v>
      </c>
    </row>
    <row r="2" spans="1:7" x14ac:dyDescent="0.3">
      <c r="A2" s="2" t="s">
        <v>7</v>
      </c>
      <c r="B2" s="2">
        <v>400</v>
      </c>
      <c r="C2" s="2" t="s">
        <v>4</v>
      </c>
      <c r="E2" s="2" t="s">
        <v>16</v>
      </c>
      <c r="F2" s="2">
        <v>226</v>
      </c>
      <c r="G2" s="2" t="s">
        <v>2</v>
      </c>
    </row>
    <row r="3" spans="1:7" x14ac:dyDescent="0.3">
      <c r="A3" s="2" t="s">
        <v>8</v>
      </c>
      <c r="B3" s="2">
        <v>65</v>
      </c>
      <c r="C3" s="2" t="s">
        <v>13</v>
      </c>
      <c r="E3" s="2" t="s">
        <v>14</v>
      </c>
      <c r="F3" s="2">
        <v>5</v>
      </c>
      <c r="G3" s="2"/>
    </row>
    <row r="4" spans="1:7" x14ac:dyDescent="0.3">
      <c r="A4" s="2" t="s">
        <v>9</v>
      </c>
      <c r="B4" s="2">
        <v>1600</v>
      </c>
      <c r="C4" s="2" t="s">
        <v>2</v>
      </c>
      <c r="E4" s="2" t="s">
        <v>17</v>
      </c>
      <c r="F4" s="2">
        <f>B4/F3</f>
        <v>320</v>
      </c>
      <c r="G4" s="2" t="s">
        <v>2</v>
      </c>
    </row>
    <row r="5" spans="1:7" x14ac:dyDescent="0.3">
      <c r="A5" s="2" t="s">
        <v>11</v>
      </c>
      <c r="B5" s="2">
        <v>1600</v>
      </c>
      <c r="C5" s="2" t="s">
        <v>2</v>
      </c>
      <c r="E5" s="2" t="s">
        <v>18</v>
      </c>
      <c r="F5">
        <v>0.39</v>
      </c>
      <c r="G5" s="4"/>
    </row>
    <row r="6" spans="1:7" x14ac:dyDescent="0.3">
      <c r="A6" s="2" t="s">
        <v>12</v>
      </c>
      <c r="B6" s="2">
        <v>35</v>
      </c>
      <c r="C6" s="2" t="s">
        <v>3</v>
      </c>
      <c r="E6" s="3" t="s">
        <v>5</v>
      </c>
      <c r="F6" s="5">
        <f>F4*B6*F5/(B2*10)</f>
        <v>1.0920000000000001</v>
      </c>
      <c r="G6" s="6" t="s">
        <v>6</v>
      </c>
    </row>
    <row r="7" spans="1:7" x14ac:dyDescent="0.3">
      <c r="A7" s="2" t="s">
        <v>15</v>
      </c>
      <c r="B7" s="2">
        <v>185</v>
      </c>
      <c r="C7" s="2" t="s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1149A7-E070-B34F-AE0B-1E0E4AE2C1A1}">
          <x14:formula1>
            <xm:f>'Aluminum MultiCore'!$A$3:$A$20</xm:f>
          </x14:formula1>
          <xm:sqref>B7</xm:sqref>
        </x14:dataValidation>
        <x14:dataValidation type="list" allowBlank="1" showInputMessage="1" showErrorMessage="1" xr:uid="{074FD8FF-C899-344D-98BB-F5F8D5CBAE0C}">
          <x14:formula1>
            <xm:f>'Aluminum MultiCore'!$C$8:$C$20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603C-45E5-2247-A86E-E2CAEB2290C1}">
  <dimension ref="A1:N20"/>
  <sheetViews>
    <sheetView tabSelected="1" topLeftCell="E1" zoomScaleNormal="100" workbookViewId="0">
      <selection activeCell="N10" sqref="N10"/>
    </sheetView>
  </sheetViews>
  <sheetFormatPr defaultColWidth="14.44140625" defaultRowHeight="14.4" x14ac:dyDescent="0.3"/>
  <cols>
    <col min="1" max="1" width="21.109375" customWidth="1"/>
    <col min="2" max="2" width="28.44140625" customWidth="1"/>
    <col min="4" max="5" width="20.33203125" customWidth="1"/>
    <col min="8" max="8" width="18.109375" customWidth="1"/>
    <col min="9" max="9" width="30" customWidth="1"/>
    <col min="10" max="13" width="22.77734375" customWidth="1"/>
  </cols>
  <sheetData>
    <row r="1" spans="1:14" ht="45" customHeight="1" x14ac:dyDescent="0.3">
      <c r="A1" s="16" t="s">
        <v>43</v>
      </c>
      <c r="B1" s="17" t="s">
        <v>51</v>
      </c>
      <c r="C1" s="17" t="s">
        <v>44</v>
      </c>
      <c r="D1" s="17" t="s">
        <v>57</v>
      </c>
      <c r="E1" s="21" t="s">
        <v>59</v>
      </c>
      <c r="F1" s="21" t="s">
        <v>60</v>
      </c>
      <c r="G1" s="17" t="s">
        <v>25</v>
      </c>
      <c r="H1" s="19" t="s">
        <v>56</v>
      </c>
      <c r="I1" s="17" t="s">
        <v>53</v>
      </c>
      <c r="J1" s="17" t="s">
        <v>44</v>
      </c>
      <c r="K1" s="17" t="s">
        <v>57</v>
      </c>
      <c r="L1" s="21" t="s">
        <v>59</v>
      </c>
      <c r="M1" s="21" t="s">
        <v>60</v>
      </c>
      <c r="N1" s="17" t="s">
        <v>25</v>
      </c>
    </row>
    <row r="2" spans="1:14" x14ac:dyDescent="0.3">
      <c r="A2" s="8" t="s">
        <v>26</v>
      </c>
      <c r="B2" s="10">
        <v>194</v>
      </c>
      <c r="C2" s="10">
        <v>240</v>
      </c>
      <c r="D2" s="10" t="s">
        <v>58</v>
      </c>
      <c r="E2" s="10">
        <v>200.5</v>
      </c>
      <c r="F2" s="10">
        <v>0.32</v>
      </c>
      <c r="G2" s="10">
        <v>2.59</v>
      </c>
      <c r="H2" s="8" t="s">
        <v>45</v>
      </c>
      <c r="I2" s="10">
        <v>30</v>
      </c>
      <c r="J2" s="12" t="s">
        <v>49</v>
      </c>
      <c r="K2" s="10" t="s">
        <v>58</v>
      </c>
      <c r="L2" s="10">
        <v>1300</v>
      </c>
      <c r="M2" s="10">
        <v>0.39</v>
      </c>
      <c r="N2" s="10">
        <v>0.95</v>
      </c>
    </row>
    <row r="3" spans="1:14" x14ac:dyDescent="0.3">
      <c r="A3" s="8" t="s">
        <v>27</v>
      </c>
      <c r="B3" s="10">
        <v>192</v>
      </c>
      <c r="C3" s="10">
        <v>240</v>
      </c>
      <c r="D3" s="10" t="s">
        <v>58</v>
      </c>
      <c r="E3" s="10">
        <v>200.5</v>
      </c>
      <c r="F3" s="10">
        <v>0.32</v>
      </c>
      <c r="G3" s="10">
        <v>2.57</v>
      </c>
      <c r="H3" s="11"/>
      <c r="J3" s="13"/>
      <c r="K3" s="13"/>
      <c r="L3" s="13"/>
      <c r="M3" s="13"/>
    </row>
    <row r="4" spans="1:14" x14ac:dyDescent="0.3">
      <c r="A4" s="8" t="s">
        <v>28</v>
      </c>
      <c r="B4" s="10">
        <v>189</v>
      </c>
      <c r="C4" s="10">
        <v>240</v>
      </c>
      <c r="D4" s="10" t="s">
        <v>58</v>
      </c>
      <c r="E4" s="10">
        <v>200.5</v>
      </c>
      <c r="F4" s="10">
        <v>0.32</v>
      </c>
      <c r="G4" s="10">
        <v>2.5299999999999998</v>
      </c>
      <c r="H4" s="11"/>
      <c r="J4" s="13"/>
      <c r="K4" s="13"/>
      <c r="L4" s="13"/>
      <c r="M4" s="13"/>
    </row>
    <row r="5" spans="1:14" x14ac:dyDescent="0.3">
      <c r="A5" s="8" t="s">
        <v>29</v>
      </c>
      <c r="B5" s="10">
        <v>187</v>
      </c>
      <c r="C5" s="10">
        <v>240</v>
      </c>
      <c r="D5" s="10" t="s">
        <v>58</v>
      </c>
      <c r="E5" s="10">
        <v>200.5</v>
      </c>
      <c r="F5" s="10">
        <v>0.32</v>
      </c>
      <c r="G5" s="10">
        <v>2.5</v>
      </c>
      <c r="H5" s="11"/>
      <c r="J5" s="13"/>
      <c r="K5" s="13"/>
      <c r="L5" s="13"/>
      <c r="M5" s="13"/>
    </row>
    <row r="6" spans="1:14" x14ac:dyDescent="0.3">
      <c r="A6" s="14" t="s">
        <v>30</v>
      </c>
      <c r="B6" s="15">
        <v>133</v>
      </c>
      <c r="C6" s="15">
        <v>150</v>
      </c>
      <c r="D6" s="10" t="s">
        <v>58</v>
      </c>
      <c r="E6" s="10">
        <v>200.5</v>
      </c>
      <c r="F6" s="15">
        <v>0.47</v>
      </c>
      <c r="G6" s="15">
        <v>2.61</v>
      </c>
      <c r="H6" s="11"/>
      <c r="J6" s="13"/>
      <c r="K6" s="13"/>
      <c r="L6" s="13"/>
      <c r="M6" s="13"/>
    </row>
    <row r="7" spans="1:14" ht="27.6" x14ac:dyDescent="0.3">
      <c r="A7" s="16"/>
      <c r="B7" s="17" t="s">
        <v>50</v>
      </c>
      <c r="C7" s="17" t="s">
        <v>44</v>
      </c>
      <c r="D7" s="17"/>
      <c r="E7" s="17"/>
      <c r="F7" s="17"/>
      <c r="G7" s="17" t="s">
        <v>25</v>
      </c>
      <c r="H7" s="20" t="s">
        <v>56</v>
      </c>
      <c r="I7" s="17" t="s">
        <v>54</v>
      </c>
      <c r="J7" s="17" t="s">
        <v>44</v>
      </c>
      <c r="K7" s="17"/>
      <c r="L7" s="17"/>
      <c r="M7" s="17"/>
      <c r="N7" s="17" t="s">
        <v>25</v>
      </c>
    </row>
    <row r="8" spans="1:14" x14ac:dyDescent="0.3">
      <c r="A8" s="8" t="s">
        <v>31</v>
      </c>
      <c r="B8" s="10">
        <v>131</v>
      </c>
      <c r="C8" s="10">
        <v>150</v>
      </c>
      <c r="D8" s="10" t="s">
        <v>58</v>
      </c>
      <c r="E8" s="10">
        <v>200.5</v>
      </c>
      <c r="F8" s="15">
        <v>0.47</v>
      </c>
      <c r="G8" s="10">
        <v>2.57</v>
      </c>
      <c r="H8" s="8" t="s">
        <v>46</v>
      </c>
      <c r="I8" s="10">
        <v>25</v>
      </c>
      <c r="J8" s="12" t="s">
        <v>48</v>
      </c>
      <c r="K8" s="10" t="s">
        <v>58</v>
      </c>
      <c r="L8" s="10">
        <v>1600</v>
      </c>
      <c r="M8" s="10">
        <v>0.39</v>
      </c>
      <c r="N8" s="10">
        <v>0.78</v>
      </c>
    </row>
    <row r="9" spans="1:14" x14ac:dyDescent="0.3">
      <c r="A9" s="8" t="s">
        <v>32</v>
      </c>
      <c r="B9" s="10">
        <v>129</v>
      </c>
      <c r="C9" s="10">
        <v>150</v>
      </c>
      <c r="D9" s="10" t="s">
        <v>58</v>
      </c>
      <c r="E9" s="10">
        <v>200.5</v>
      </c>
      <c r="F9" s="15">
        <v>0.47</v>
      </c>
      <c r="G9" s="10">
        <v>2.5299999999999998</v>
      </c>
      <c r="H9" s="11"/>
      <c r="J9" s="13"/>
      <c r="K9" s="13"/>
      <c r="L9" s="13"/>
      <c r="M9" s="13"/>
    </row>
    <row r="10" spans="1:14" x14ac:dyDescent="0.3">
      <c r="A10" s="8" t="s">
        <v>33</v>
      </c>
      <c r="B10" s="10">
        <v>126</v>
      </c>
      <c r="C10" s="10">
        <v>150</v>
      </c>
      <c r="D10" s="10" t="s">
        <v>58</v>
      </c>
      <c r="E10" s="10">
        <v>200.5</v>
      </c>
      <c r="F10" s="15">
        <v>0.47</v>
      </c>
      <c r="G10" s="10">
        <v>2.4700000000000002</v>
      </c>
      <c r="H10" s="11"/>
      <c r="J10" s="13"/>
      <c r="K10" s="13"/>
      <c r="L10" s="13"/>
      <c r="M10" s="13"/>
    </row>
    <row r="11" spans="1:14" x14ac:dyDescent="0.3">
      <c r="A11" s="8" t="s">
        <v>34</v>
      </c>
      <c r="B11" s="10">
        <v>124</v>
      </c>
      <c r="C11" s="10">
        <v>150</v>
      </c>
      <c r="D11" s="10" t="s">
        <v>58</v>
      </c>
      <c r="E11" s="10">
        <v>200.5</v>
      </c>
      <c r="F11" s="15">
        <v>0.47</v>
      </c>
      <c r="G11" s="10">
        <v>2.4300000000000002</v>
      </c>
      <c r="H11" s="11"/>
      <c r="J11" s="13"/>
      <c r="K11" s="13"/>
      <c r="L11" s="13"/>
      <c r="M11" s="13"/>
    </row>
    <row r="12" spans="1:14" x14ac:dyDescent="0.3">
      <c r="A12" s="8" t="s">
        <v>35</v>
      </c>
      <c r="B12" s="10">
        <v>112</v>
      </c>
      <c r="C12" s="10">
        <v>120</v>
      </c>
      <c r="D12" s="10" t="s">
        <v>58</v>
      </c>
      <c r="E12" s="10">
        <v>200.5</v>
      </c>
      <c r="F12" s="10">
        <v>0.55000000000000004</v>
      </c>
      <c r="G12" s="10">
        <v>2.62</v>
      </c>
      <c r="H12" s="11"/>
      <c r="J12" s="13"/>
      <c r="K12" s="13"/>
      <c r="L12" s="13"/>
      <c r="M12" s="13"/>
    </row>
    <row r="13" spans="1:14" x14ac:dyDescent="0.3">
      <c r="A13" s="14" t="s">
        <v>36</v>
      </c>
      <c r="B13" s="15">
        <v>115</v>
      </c>
      <c r="C13" s="15">
        <v>120</v>
      </c>
      <c r="D13" s="10" t="s">
        <v>58</v>
      </c>
      <c r="E13" s="10">
        <v>133.69999999999999</v>
      </c>
      <c r="F13" s="15">
        <v>0.55000000000000004</v>
      </c>
      <c r="G13" s="15">
        <v>1.76</v>
      </c>
      <c r="H13" s="11"/>
      <c r="J13" s="13"/>
      <c r="K13" s="13"/>
      <c r="L13" s="13"/>
      <c r="M13" s="13"/>
    </row>
    <row r="14" spans="1:14" ht="27.6" x14ac:dyDescent="0.3">
      <c r="A14" s="18"/>
      <c r="B14" s="17" t="s">
        <v>52</v>
      </c>
      <c r="C14" s="17" t="s">
        <v>44</v>
      </c>
      <c r="D14" s="17"/>
      <c r="E14" s="17"/>
      <c r="F14" s="17"/>
      <c r="G14" s="17" t="s">
        <v>25</v>
      </c>
      <c r="H14" s="20" t="s">
        <v>56</v>
      </c>
      <c r="I14" s="17" t="s">
        <v>55</v>
      </c>
      <c r="J14" s="17" t="s">
        <v>44</v>
      </c>
      <c r="K14" s="17"/>
      <c r="L14" s="17"/>
      <c r="M14" s="17"/>
      <c r="N14" s="17" t="s">
        <v>25</v>
      </c>
    </row>
    <row r="15" spans="1:14" x14ac:dyDescent="0.3">
      <c r="A15" s="8" t="s">
        <v>37</v>
      </c>
      <c r="B15" s="10">
        <v>152</v>
      </c>
      <c r="C15" s="10">
        <v>185</v>
      </c>
      <c r="D15" s="10" t="s">
        <v>58</v>
      </c>
      <c r="E15" s="10">
        <v>200.5</v>
      </c>
      <c r="F15" s="10">
        <v>0.39</v>
      </c>
      <c r="G15" s="10">
        <v>2.48</v>
      </c>
      <c r="H15" s="8" t="s">
        <v>47</v>
      </c>
      <c r="I15" s="10">
        <v>35</v>
      </c>
      <c r="J15" s="12" t="s">
        <v>48</v>
      </c>
      <c r="K15" s="10" t="s">
        <v>58</v>
      </c>
      <c r="L15" s="10">
        <v>1600</v>
      </c>
      <c r="M15" s="10">
        <v>0.39</v>
      </c>
      <c r="N15" s="10">
        <v>1.0900000000000001</v>
      </c>
    </row>
    <row r="16" spans="1:14" x14ac:dyDescent="0.3">
      <c r="A16" s="8" t="s">
        <v>38</v>
      </c>
      <c r="B16" s="10">
        <v>155</v>
      </c>
      <c r="C16" s="10">
        <v>185</v>
      </c>
      <c r="D16" s="10" t="s">
        <v>58</v>
      </c>
      <c r="E16" s="10">
        <v>200.5</v>
      </c>
      <c r="F16" s="10">
        <v>0.39</v>
      </c>
      <c r="G16" s="10">
        <v>2.5299999999999998</v>
      </c>
      <c r="H16" s="11"/>
      <c r="J16" s="13"/>
      <c r="K16" s="13"/>
      <c r="L16" s="13"/>
      <c r="M16" s="13"/>
    </row>
    <row r="17" spans="1:13" x14ac:dyDescent="0.3">
      <c r="A17" s="8" t="s">
        <v>39</v>
      </c>
      <c r="B17" s="10">
        <v>157</v>
      </c>
      <c r="C17" s="10">
        <v>185</v>
      </c>
      <c r="D17" s="10" t="s">
        <v>58</v>
      </c>
      <c r="E17" s="10">
        <v>200.5</v>
      </c>
      <c r="F17" s="10">
        <v>0.39</v>
      </c>
      <c r="G17" s="10">
        <v>2.56</v>
      </c>
      <c r="H17" s="11"/>
      <c r="J17" s="13"/>
      <c r="K17" s="13"/>
      <c r="L17" s="13"/>
      <c r="M17" s="13"/>
    </row>
    <row r="18" spans="1:13" x14ac:dyDescent="0.3">
      <c r="A18" s="8" t="s">
        <v>40</v>
      </c>
      <c r="B18" s="10">
        <v>200</v>
      </c>
      <c r="C18" s="10">
        <v>240</v>
      </c>
      <c r="D18" s="10" t="s">
        <v>58</v>
      </c>
      <c r="E18" s="10">
        <v>200.5</v>
      </c>
      <c r="F18" s="10">
        <v>0.32</v>
      </c>
      <c r="G18" s="10">
        <v>2.67</v>
      </c>
      <c r="H18" s="11"/>
      <c r="J18" s="13"/>
      <c r="K18" s="13"/>
      <c r="L18" s="13"/>
      <c r="M18" s="13"/>
    </row>
    <row r="19" spans="1:13" x14ac:dyDescent="0.3">
      <c r="A19" s="8" t="s">
        <v>41</v>
      </c>
      <c r="B19" s="10">
        <v>203</v>
      </c>
      <c r="C19" s="10">
        <v>240</v>
      </c>
      <c r="D19" s="10" t="s">
        <v>58</v>
      </c>
      <c r="E19" s="10">
        <v>200.5</v>
      </c>
      <c r="F19" s="10">
        <v>0.32</v>
      </c>
      <c r="G19" s="10">
        <v>2.71</v>
      </c>
      <c r="H19" s="11"/>
      <c r="J19" s="13"/>
      <c r="K19" s="13"/>
      <c r="L19" s="13"/>
      <c r="M19" s="13"/>
    </row>
    <row r="20" spans="1:13" x14ac:dyDescent="0.3">
      <c r="A20" s="8" t="s">
        <v>42</v>
      </c>
      <c r="B20" s="10">
        <v>205</v>
      </c>
      <c r="C20" s="10">
        <v>240</v>
      </c>
      <c r="D20" s="10" t="s">
        <v>58</v>
      </c>
      <c r="E20" s="10">
        <v>200.5</v>
      </c>
      <c r="F20" s="10">
        <v>0.32</v>
      </c>
      <c r="G20" s="10">
        <v>2.74</v>
      </c>
      <c r="H20" s="11"/>
      <c r="J20" s="13"/>
      <c r="K20" s="13"/>
      <c r="L20" s="13"/>
      <c r="M20" s="1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="102" workbookViewId="0">
      <selection activeCell="C16" sqref="C16"/>
    </sheetView>
  </sheetViews>
  <sheetFormatPr defaultColWidth="8.77734375" defaultRowHeight="14.4" x14ac:dyDescent="0.3"/>
  <cols>
    <col min="1" max="1" width="27" bestFit="1" customWidth="1"/>
    <col min="2" max="2" width="30.44140625" bestFit="1" customWidth="1"/>
    <col min="3" max="3" width="33.33203125" bestFit="1" customWidth="1"/>
    <col min="4" max="4" width="17" bestFit="1" customWidth="1"/>
    <col min="5" max="5" width="20.109375" bestFit="1" customWidth="1"/>
    <col min="6" max="6" width="14.77734375" bestFit="1" customWidth="1"/>
  </cols>
  <sheetData>
    <row r="1" spans="1:6" ht="15.6" x14ac:dyDescent="0.3">
      <c r="A1" s="7" t="s">
        <v>19</v>
      </c>
      <c r="B1" s="7" t="s">
        <v>20</v>
      </c>
      <c r="C1" s="7" t="s">
        <v>21</v>
      </c>
      <c r="F1" s="1"/>
    </row>
    <row r="2" spans="1:6" x14ac:dyDescent="0.3">
      <c r="A2" t="s">
        <v>22</v>
      </c>
      <c r="B2" t="s">
        <v>23</v>
      </c>
      <c r="C2" t="s">
        <v>23</v>
      </c>
    </row>
    <row r="3" spans="1:6" x14ac:dyDescent="0.3">
      <c r="A3">
        <v>1.5</v>
      </c>
      <c r="B3">
        <v>22.6</v>
      </c>
      <c r="C3" t="s">
        <v>24</v>
      </c>
    </row>
    <row r="4" spans="1:6" x14ac:dyDescent="0.3">
      <c r="A4">
        <v>2.5</v>
      </c>
      <c r="B4">
        <v>13.8</v>
      </c>
      <c r="C4" t="s">
        <v>24</v>
      </c>
    </row>
    <row r="5" spans="1:6" x14ac:dyDescent="0.3">
      <c r="A5">
        <v>4</v>
      </c>
      <c r="B5">
        <v>8.6</v>
      </c>
      <c r="C5" t="s">
        <v>24</v>
      </c>
    </row>
    <row r="6" spans="1:6" x14ac:dyDescent="0.3">
      <c r="A6">
        <v>6</v>
      </c>
      <c r="B6">
        <v>5.8</v>
      </c>
      <c r="C6" t="s">
        <v>24</v>
      </c>
    </row>
    <row r="7" spans="1:6" x14ac:dyDescent="0.3">
      <c r="A7">
        <v>10</v>
      </c>
      <c r="B7">
        <v>3.5</v>
      </c>
      <c r="C7" t="s">
        <v>24</v>
      </c>
    </row>
    <row r="8" spans="1:6" x14ac:dyDescent="0.3">
      <c r="A8">
        <v>16</v>
      </c>
      <c r="B8">
        <v>2.2000000000000002</v>
      </c>
      <c r="C8">
        <v>3.6</v>
      </c>
    </row>
    <row r="9" spans="1:6" x14ac:dyDescent="0.3">
      <c r="A9">
        <v>25</v>
      </c>
      <c r="B9">
        <v>1.4</v>
      </c>
      <c r="C9">
        <v>2.2999999999999998</v>
      </c>
    </row>
    <row r="10" spans="1:6" x14ac:dyDescent="0.3">
      <c r="A10">
        <v>35</v>
      </c>
      <c r="B10">
        <v>1.1000000000000001</v>
      </c>
      <c r="C10">
        <v>1.7</v>
      </c>
    </row>
    <row r="11" spans="1:6" x14ac:dyDescent="0.3">
      <c r="A11">
        <v>50</v>
      </c>
      <c r="B11">
        <v>0.8</v>
      </c>
      <c r="C11">
        <v>1.3</v>
      </c>
    </row>
    <row r="12" spans="1:6" x14ac:dyDescent="0.3">
      <c r="A12">
        <v>70</v>
      </c>
      <c r="B12">
        <v>0.57999999999999996</v>
      </c>
      <c r="C12">
        <v>0.91</v>
      </c>
    </row>
    <row r="13" spans="1:6" x14ac:dyDescent="0.3">
      <c r="A13">
        <v>95</v>
      </c>
      <c r="B13">
        <v>0.44</v>
      </c>
      <c r="C13">
        <v>0.68</v>
      </c>
    </row>
    <row r="14" spans="1:6" x14ac:dyDescent="0.3">
      <c r="A14">
        <v>120</v>
      </c>
      <c r="B14">
        <v>0.37</v>
      </c>
      <c r="C14">
        <v>0.55000000000000004</v>
      </c>
    </row>
    <row r="15" spans="1:6" x14ac:dyDescent="0.3">
      <c r="A15">
        <v>150</v>
      </c>
      <c r="B15">
        <v>0.32</v>
      </c>
      <c r="C15">
        <v>0.47</v>
      </c>
    </row>
    <row r="16" spans="1:6" x14ac:dyDescent="0.3">
      <c r="A16">
        <v>185</v>
      </c>
      <c r="B16">
        <v>0.27</v>
      </c>
      <c r="C16">
        <v>0.39</v>
      </c>
    </row>
    <row r="17" spans="1:3" x14ac:dyDescent="0.3">
      <c r="A17" s="9">
        <v>240</v>
      </c>
      <c r="B17">
        <v>0.23</v>
      </c>
      <c r="C17" s="9">
        <v>0.32</v>
      </c>
    </row>
    <row r="18" spans="1:3" x14ac:dyDescent="0.3">
      <c r="A18">
        <v>300</v>
      </c>
      <c r="B18">
        <v>0.2</v>
      </c>
      <c r="C18">
        <v>0.27</v>
      </c>
    </row>
    <row r="19" spans="1:3" x14ac:dyDescent="0.3">
      <c r="A19">
        <v>400</v>
      </c>
      <c r="B19">
        <v>0.18</v>
      </c>
      <c r="C19">
        <v>0.23</v>
      </c>
    </row>
    <row r="20" spans="1:3" x14ac:dyDescent="0.3">
      <c r="A20">
        <v>500</v>
      </c>
      <c r="B20">
        <v>0.15</v>
      </c>
      <c r="C20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Equations (4)</vt:lpstr>
      <vt:lpstr>Percentage Voltage Drop </vt:lpstr>
      <vt:lpstr>Aluminum MultiCore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Baharoon</dc:creator>
  <cp:lastModifiedBy>Yazan Alabtah</cp:lastModifiedBy>
  <dcterms:created xsi:type="dcterms:W3CDTF">2024-07-03T09:10:09Z</dcterms:created>
  <dcterms:modified xsi:type="dcterms:W3CDTF">2025-07-23T10:24:40Z</dcterms:modified>
</cp:coreProperties>
</file>